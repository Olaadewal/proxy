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barak Farinde\Documents\DIVLOG GEOPETRO LTD\QUARRY\TIME\"/>
    </mc:Choice>
  </mc:AlternateContent>
  <xr:revisionPtr revIDLastSave="0" documentId="13_ncr:1_{E9E4ABB1-E0FB-4118-AF0A-0122C030AA7C}" xr6:coauthVersionLast="47" xr6:coauthVersionMax="47" xr10:uidLastSave="{00000000-0000-0000-0000-000000000000}"/>
  <bookViews>
    <workbookView xWindow="-120" yWindow="-120" windowWidth="21840" windowHeight="13140" xr2:uid="{FFBA01F3-2229-4564-918E-A4F12FE7EC0B}"/>
  </bookViews>
  <sheets>
    <sheet name="DAILY_PRODUCTION" sheetId="2" r:id="rId1"/>
  </sheets>
  <definedNames>
    <definedName name="_xlnm.Print_Area" localSheetId="0">DAILY_PRODUCTION!$A$1:$Q$21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K9" i="2" s="1"/>
  <c r="N9" i="2"/>
  <c r="O9" i="2" s="1"/>
  <c r="J10" i="2"/>
  <c r="K10" i="2" s="1"/>
  <c r="N10" i="2"/>
  <c r="O10" i="2" s="1"/>
  <c r="J11" i="2"/>
  <c r="K11" i="2" s="1"/>
  <c r="N11" i="2"/>
  <c r="O11" i="2" s="1"/>
  <c r="J12" i="2"/>
  <c r="K12" i="2" s="1"/>
  <c r="N12" i="2"/>
  <c r="O12" i="2" s="1"/>
  <c r="J13" i="2"/>
  <c r="K13" i="2" s="1"/>
  <c r="N13" i="2"/>
  <c r="O13" i="2" s="1"/>
  <c r="J14" i="2"/>
  <c r="K14" i="2" s="1"/>
  <c r="N14" i="2"/>
  <c r="O14" i="2" s="1"/>
  <c r="J15" i="2"/>
  <c r="K15" i="2" s="1"/>
  <c r="N15" i="2"/>
  <c r="O15" i="2" s="1"/>
  <c r="J16" i="2"/>
  <c r="K16" i="2" s="1"/>
  <c r="N16" i="2"/>
  <c r="O16" i="2" s="1"/>
  <c r="J17" i="2"/>
  <c r="K17" i="2" s="1"/>
  <c r="N17" i="2"/>
  <c r="O17" i="2" s="1"/>
  <c r="J18" i="2"/>
  <c r="K18" i="2" s="1"/>
  <c r="N18" i="2"/>
  <c r="O18" i="2" s="1"/>
  <c r="J20" i="2"/>
  <c r="K20" i="2" s="1"/>
  <c r="N6" i="2"/>
  <c r="Q6" i="2" s="1"/>
  <c r="N7" i="2"/>
  <c r="Q7" i="2" s="1"/>
  <c r="N8" i="2"/>
  <c r="Q8" i="2" s="1"/>
  <c r="N5" i="2"/>
  <c r="Q5" i="2" s="1"/>
  <c r="J5" i="2"/>
  <c r="K5" i="2" s="1"/>
  <c r="R5" i="2" s="1"/>
  <c r="J6" i="2"/>
  <c r="K6" i="2" s="1"/>
  <c r="J7" i="2"/>
  <c r="J8" i="2"/>
  <c r="C19" i="2"/>
  <c r="N19" i="2" s="1"/>
  <c r="O19" i="2" s="1"/>
  <c r="D19" i="2"/>
  <c r="E19" i="2"/>
  <c r="F19" i="2"/>
  <c r="G19" i="2"/>
  <c r="H19" i="2"/>
  <c r="I19" i="2"/>
  <c r="B19" i="2"/>
  <c r="E20" i="2" l="1"/>
  <c r="C20" i="2"/>
  <c r="J19" i="2"/>
  <c r="K19" i="2" s="1"/>
  <c r="M20" i="2"/>
  <c r="Q19" i="2"/>
  <c r="Q18" i="2"/>
  <c r="M18" i="2"/>
  <c r="Q17" i="2"/>
  <c r="M17" i="2"/>
  <c r="Q16" i="2"/>
  <c r="M16" i="2"/>
  <c r="Q15" i="2"/>
  <c r="M15" i="2"/>
  <c r="Q14" i="2"/>
  <c r="M14" i="2"/>
  <c r="Q13" i="2"/>
  <c r="M13" i="2"/>
  <c r="Q12" i="2"/>
  <c r="M12" i="2"/>
  <c r="Q11" i="2"/>
  <c r="M11" i="2"/>
  <c r="Q10" i="2"/>
  <c r="M10" i="2"/>
  <c r="Q9" i="2"/>
  <c r="M9" i="2"/>
  <c r="L20" i="2"/>
  <c r="P19" i="2"/>
  <c r="P18" i="2"/>
  <c r="L18" i="2"/>
  <c r="P17" i="2"/>
  <c r="L17" i="2"/>
  <c r="P16" i="2"/>
  <c r="L16" i="2"/>
  <c r="P15" i="2"/>
  <c r="L15" i="2"/>
  <c r="P14" i="2"/>
  <c r="L14" i="2"/>
  <c r="P13" i="2"/>
  <c r="L13" i="2"/>
  <c r="P12" i="2"/>
  <c r="L12" i="2"/>
  <c r="P11" i="2"/>
  <c r="L11" i="2"/>
  <c r="P10" i="2"/>
  <c r="L10" i="2"/>
  <c r="P9" i="2"/>
  <c r="L9" i="2"/>
  <c r="I20" i="2"/>
  <c r="G20" i="2"/>
  <c r="O8" i="2"/>
  <c r="P5" i="2"/>
  <c r="P6" i="2"/>
  <c r="P7" i="2"/>
  <c r="P8" i="2"/>
  <c r="O5" i="2"/>
  <c r="O6" i="2"/>
  <c r="O7" i="2"/>
  <c r="M6" i="2"/>
  <c r="L7" i="2"/>
  <c r="L8" i="2"/>
  <c r="N20" i="2" l="1"/>
  <c r="Q20" i="2" s="1"/>
  <c r="L19" i="2"/>
  <c r="M19" i="2"/>
  <c r="R6" i="2"/>
  <c r="L6" i="2"/>
  <c r="M5" i="2"/>
  <c r="T5" i="2" s="1"/>
  <c r="T6" i="2" s="1"/>
  <c r="L5" i="2"/>
  <c r="S5" i="2" s="1"/>
  <c r="M8" i="2"/>
  <c r="K8" i="2"/>
  <c r="K7" i="2"/>
  <c r="M7" i="2"/>
  <c r="O20" i="2" l="1"/>
  <c r="P20" i="2"/>
  <c r="T7" i="2"/>
  <c r="R7" i="2"/>
  <c r="S6" i="2"/>
  <c r="S7" i="2" s="1"/>
</calcChain>
</file>

<file path=xl/sharedStrings.xml><?xml version="1.0" encoding="utf-8"?>
<sst xmlns="http://schemas.openxmlformats.org/spreadsheetml/2006/main" count="46" uniqueCount="27">
  <si>
    <t>Date</t>
  </si>
  <si>
    <t>Crusher</t>
  </si>
  <si>
    <t>Assumption</t>
  </si>
  <si>
    <t>3/4"</t>
  </si>
  <si>
    <t>3/8"</t>
  </si>
  <si>
    <t>Stone Dust</t>
  </si>
  <si>
    <t>Fraction</t>
  </si>
  <si>
    <t>Stone size</t>
  </si>
  <si>
    <t>Stockpile Balance</t>
  </si>
  <si>
    <t xml:space="preserve">Stockpile Balance </t>
  </si>
  <si>
    <t>Total</t>
  </si>
  <si>
    <t>Tons(WB)</t>
  </si>
  <si>
    <t>Blue Truck</t>
  </si>
  <si>
    <t>Yellow Truck</t>
  </si>
  <si>
    <t>Black Truck</t>
  </si>
  <si>
    <t>Lemon Truck</t>
  </si>
  <si>
    <t>ROM_PAD</t>
  </si>
  <si>
    <t>LEMON TRUCK</t>
  </si>
  <si>
    <t>BLUE TRUCK</t>
  </si>
  <si>
    <t>YELLOW TRUCK</t>
  </si>
  <si>
    <t>BLACK TRUCK</t>
  </si>
  <si>
    <t>TOTAL</t>
  </si>
  <si>
    <t xml:space="preserve"> CrushedTonnage</t>
  </si>
  <si>
    <t>Rompad Tonnage</t>
  </si>
  <si>
    <t>TOTAL MINED</t>
  </si>
  <si>
    <t xml:space="preserve">TIME QUARRY_OBAAGUN PRODUCTION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</si>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</sst>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medium">
        <color indexed="64"/>
      </left>
      <right/>
      <top style="thick">
        <color rgb="FFFF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14" fontId="0" fillId="0" borderId="4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0" xfId="0" applyNumberFormat="1"/>
    <xf numFmtId="1" fontId="0" fillId="0" borderId="9" xfId="0" applyNumberFormat="1" applyBorder="1"/>
    <xf numFmtId="0" fontId="0" fillId="0" borderId="1" xfId="0" applyBorder="1"/>
    <xf numFmtId="1" fontId="0" fillId="0" borderId="10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12" xfId="0" applyFont="1" applyBorder="1"/>
    <xf numFmtId="0" fontId="3" fillId="0" borderId="2" xfId="0" applyFont="1" applyBorder="1"/>
    <xf numFmtId="0" fontId="3" fillId="0" borderId="4" xfId="0" applyFont="1" applyBorder="1"/>
    <xf numFmtId="1" fontId="3" fillId="0" borderId="4" xfId="0" applyNumberFormat="1" applyFont="1" applyBorder="1"/>
    <xf numFmtId="1" fontId="3" fillId="0" borderId="5" xfId="0" applyNumberFormat="1" applyFont="1" applyBorder="1"/>
    <xf numFmtId="1" fontId="3" fillId="0" borderId="0" xfId="0" applyNumberFormat="1" applyFont="1"/>
    <xf numFmtId="0" fontId="3" fillId="0" borderId="5" xfId="0" applyFont="1" applyBorder="1"/>
    <xf numFmtId="0" fontId="3" fillId="0" borderId="0" xfId="0" applyFont="1" applyAlignment="1">
      <alignment horizontal="right"/>
    </xf>
    <xf numFmtId="166" fontId="0" fillId="0" borderId="0" xfId="1" applyNumberFormat="1" applyFont="1"/>
    <xf numFmtId="166" fontId="0" fillId="0" borderId="4" xfId="1" applyNumberFormat="1" applyFont="1" applyBorder="1"/>
    <xf numFmtId="166" fontId="0" fillId="0" borderId="13" xfId="1" applyNumberFormat="1" applyFont="1" applyBorder="1"/>
    <xf numFmtId="166" fontId="0" fillId="0" borderId="14" xfId="1" applyNumberFormat="1" applyFont="1" applyBorder="1"/>
    <xf numFmtId="166" fontId="4" fillId="2" borderId="17" xfId="1" applyNumberFormat="1" applyFont="1" applyFill="1" applyBorder="1"/>
    <xf numFmtId="166" fontId="0" fillId="0" borderId="0" xfId="1" applyNumberFormat="1" applyFont="1" applyBorder="1"/>
    <xf numFmtId="166" fontId="0" fillId="0" borderId="5" xfId="1" applyNumberFormat="1" applyFont="1" applyBorder="1"/>
    <xf numFmtId="166" fontId="0" fillId="0" borderId="16" xfId="1" applyNumberFormat="1" applyFont="1" applyBorder="1"/>
    <xf numFmtId="166" fontId="0" fillId="0" borderId="15" xfId="1" applyNumberFormat="1" applyFont="1" applyBorder="1"/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6" fontId="0" fillId="2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1CA60ED-0058-4E7B-899A-0AE56BE50F33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541CC91-844D-487D-B254-C0F8C3638A8B}">
  <we:reference id="wa200006009" version="2.1.2.10" store="en-US" storeType="OMEX"/>
  <we:alternateReferences>
    <we:reference id="WA200006009" version="2.1.2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5923-27CE-4190-BCE5-4E3DCD20BE69}">
  <sheetPr codeName="Sheet2">
    <pageSetUpPr fitToPage="1"/>
  </sheetPr>
  <dimension ref="A1:Z2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O9" sqref="O9"/>
    </sheetView>
  </sheetViews>
  <sheetFormatPr defaultRowHeight="15" x14ac:dyDescent="0.25"/>
  <cols>
    <col min="1" max="1" width="10.85546875" bestFit="1" customWidth="1"/>
    <col min="2" max="2" width="8.28515625" style="6" bestFit="1" customWidth="1"/>
    <col min="3" max="3" width="9.5703125" style="7" bestFit="1" customWidth="1"/>
    <col min="4" max="4" width="9.140625" style="8"/>
    <col min="5" max="5" width="9.5703125" style="8" bestFit="1" customWidth="1"/>
    <col min="6" max="6" width="9.140625" style="6"/>
    <col min="7" max="7" width="9.5703125" style="7" bestFit="1" customWidth="1"/>
    <col min="8" max="8" width="9.140625" style="6"/>
    <col min="9" max="9" width="9.5703125" style="7" bestFit="1" customWidth="1"/>
    <col min="13" max="13" width="11" bestFit="1" customWidth="1"/>
    <col min="14" max="14" width="10.28515625" style="3" customWidth="1"/>
    <col min="15" max="16" width="10.28515625" customWidth="1"/>
    <col min="17" max="17" width="11" style="4" bestFit="1" customWidth="1"/>
    <col min="18" max="18" width="12.7109375" bestFit="1" customWidth="1"/>
    <col min="20" max="20" width="11" bestFit="1" customWidth="1"/>
    <col min="22" max="22" width="11.5703125" bestFit="1" customWidth="1"/>
    <col min="25" max="25" width="17.28515625" bestFit="1" customWidth="1"/>
  </cols>
  <sheetData>
    <row r="1" spans="1:26" x14ac:dyDescent="0.25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</row>
    <row r="2" spans="1:26" ht="15.75" thickBo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26" x14ac:dyDescent="0.25">
      <c r="A3" s="20"/>
      <c r="B3" s="43" t="s">
        <v>17</v>
      </c>
      <c r="C3" s="44"/>
      <c r="D3" s="45" t="s">
        <v>18</v>
      </c>
      <c r="E3" s="45"/>
      <c r="F3" s="43" t="s">
        <v>19</v>
      </c>
      <c r="G3" s="44"/>
      <c r="H3" s="43" t="s">
        <v>20</v>
      </c>
      <c r="I3" s="44"/>
      <c r="J3" s="42" t="s">
        <v>22</v>
      </c>
      <c r="K3" s="42"/>
      <c r="L3" s="42"/>
      <c r="M3" s="42"/>
      <c r="N3" s="36" t="s">
        <v>23</v>
      </c>
      <c r="O3" s="37"/>
      <c r="P3" s="37"/>
      <c r="Q3" s="38"/>
      <c r="R3" s="42" t="s">
        <v>8</v>
      </c>
      <c r="S3" s="42"/>
      <c r="T3" s="42"/>
      <c r="V3" s="14" t="s">
        <v>2</v>
      </c>
      <c r="W3" s="15" t="s">
        <v>11</v>
      </c>
      <c r="Y3" s="14" t="s">
        <v>7</v>
      </c>
      <c r="Z3" s="15" t="s">
        <v>6</v>
      </c>
    </row>
    <row r="4" spans="1:26" x14ac:dyDescent="0.25">
      <c r="A4" s="21" t="s">
        <v>0</v>
      </c>
      <c r="B4" s="22" t="s">
        <v>1</v>
      </c>
      <c r="C4" s="23" t="s">
        <v>16</v>
      </c>
      <c r="D4" s="24" t="s">
        <v>1</v>
      </c>
      <c r="E4" s="24" t="s">
        <v>16</v>
      </c>
      <c r="F4" s="22" t="s">
        <v>1</v>
      </c>
      <c r="G4" s="23" t="s">
        <v>16</v>
      </c>
      <c r="H4" s="22" t="s">
        <v>1</v>
      </c>
      <c r="I4" s="23" t="s">
        <v>16</v>
      </c>
      <c r="J4" s="1" t="s">
        <v>10</v>
      </c>
      <c r="K4" s="1" t="s">
        <v>3</v>
      </c>
      <c r="L4" s="1" t="s">
        <v>4</v>
      </c>
      <c r="M4" s="1" t="s">
        <v>5</v>
      </c>
      <c r="N4" s="21" t="s">
        <v>10</v>
      </c>
      <c r="O4" s="1" t="s">
        <v>3</v>
      </c>
      <c r="P4" s="1" t="s">
        <v>4</v>
      </c>
      <c r="Q4" s="25" t="s">
        <v>5</v>
      </c>
      <c r="R4" s="26" t="s">
        <v>3</v>
      </c>
      <c r="S4" s="26" t="s">
        <v>4</v>
      </c>
      <c r="T4" s="26" t="s">
        <v>5</v>
      </c>
      <c r="V4" s="16" t="s">
        <v>15</v>
      </c>
      <c r="W4" s="17">
        <v>10</v>
      </c>
      <c r="Y4" s="16" t="s">
        <v>3</v>
      </c>
      <c r="Z4" s="17">
        <v>0.4</v>
      </c>
    </row>
    <row r="5" spans="1:26" x14ac:dyDescent="0.25">
      <c r="A5" s="5">
        <v>46029</v>
      </c>
      <c r="B5" s="6">
        <v>14</v>
      </c>
      <c r="C5" s="7">
        <v>1</v>
      </c>
      <c r="D5" s="8">
        <v>16</v>
      </c>
      <c r="E5" s="8">
        <v>1</v>
      </c>
      <c r="J5">
        <f>(VLOOKUP($B$3,V$4:W$7,2,FALSE)*(B5))+(VLOOKUP($D$3,V$4:W$7,2,FALSE)*(D5))+(VLOOKUP($F$3, V$4:W$7, 2, FALSE)*(F5))+(VLOOKUP($H$3, V$4:W$7, 2, FALSE)*(H5))</f>
        <v>300</v>
      </c>
      <c r="K5">
        <f>$Z$4*J5</f>
        <v>120</v>
      </c>
      <c r="L5">
        <f>$Z$5*J5</f>
        <v>105</v>
      </c>
      <c r="M5">
        <f>$Z$6*J5</f>
        <v>75</v>
      </c>
      <c r="N5" s="3">
        <f>(VLOOKUP($B$3,V$4:W$7,2,FALSE)*(C5))+(VLOOKUP($D$3,V$4:W$7,2,FALSE)*(E5))+(VLOOKUP($F$3, V$4:W$7, 2, FALSE)*(G5))+(VLOOKUP($H$3, V$4:W$7, 2, FALSE)*(I5))</f>
        <v>20</v>
      </c>
      <c r="O5">
        <f>$Z$4*N5</f>
        <v>8</v>
      </c>
      <c r="P5">
        <f>$Z$5*N5</f>
        <v>7</v>
      </c>
      <c r="Q5" s="4">
        <f>$Z$6*N5</f>
        <v>5</v>
      </c>
      <c r="R5" s="2">
        <f>Z10+K5</f>
        <v>120</v>
      </c>
      <c r="S5" s="2">
        <f>Z11+L5</f>
        <v>105</v>
      </c>
      <c r="T5" s="2">
        <f>Z12+M5</f>
        <v>75</v>
      </c>
      <c r="V5" s="16" t="s">
        <v>12</v>
      </c>
      <c r="W5" s="17">
        <v>10</v>
      </c>
      <c r="Y5" s="16" t="s">
        <v>4</v>
      </c>
      <c r="Z5" s="17">
        <v>0.35</v>
      </c>
    </row>
    <row r="6" spans="1:26" ht="15.75" thickBot="1" x14ac:dyDescent="0.3">
      <c r="A6" s="5">
        <v>46030</v>
      </c>
      <c r="B6" s="6">
        <v>0</v>
      </c>
      <c r="C6" s="7">
        <v>7</v>
      </c>
      <c r="D6" s="8">
        <v>7</v>
      </c>
      <c r="E6" s="8">
        <v>6</v>
      </c>
      <c r="J6">
        <f t="shared" ref="J6:J8" si="0">(VLOOKUP($B$3,V$4:W$7,2,FALSE)*(B6))+(VLOOKUP($D$3,V$4:W$7,2,FALSE)*(D6))+(VLOOKUP($F$3, V$4:W$7, 2, FALSE)*(F6))+(VLOOKUP($H$3, V$4:W$7, 2, FALSE)*(H6))</f>
        <v>70</v>
      </c>
      <c r="K6">
        <f>$Z$4*J6</f>
        <v>28</v>
      </c>
      <c r="L6">
        <f t="shared" ref="L6:L8" si="1">$Z$5*J6</f>
        <v>24.5</v>
      </c>
      <c r="M6">
        <f>$Z$6*J6</f>
        <v>17.5</v>
      </c>
      <c r="N6" s="3">
        <f t="shared" ref="N6:N8" si="2">(VLOOKUP($B$3,V$4:W$7,2,FALSE)*(C6))+(VLOOKUP($D$3,V$4:W$7,2,FALSE)*(E6))+(VLOOKUP($F$3, V$4:W$7, 2, FALSE)*(G6))+(VLOOKUP($H$3, V$4:W$7, 2, FALSE)*(I6))</f>
        <v>130</v>
      </c>
      <c r="O6">
        <f t="shared" ref="O6:O8" si="3">$Z$4*N6</f>
        <v>52</v>
      </c>
      <c r="P6">
        <f t="shared" ref="P6:P8" si="4">$Z$5*N6</f>
        <v>45.5</v>
      </c>
      <c r="Q6" s="4">
        <f>$Z$6*N6</f>
        <v>32.5</v>
      </c>
      <c r="R6" s="2">
        <f t="shared" ref="R6:T7" si="5">R5+K6</f>
        <v>148</v>
      </c>
      <c r="S6" s="2">
        <f t="shared" si="5"/>
        <v>129.5</v>
      </c>
      <c r="T6" s="2">
        <f t="shared" si="5"/>
        <v>92.5</v>
      </c>
      <c r="V6" s="16" t="s">
        <v>13</v>
      </c>
      <c r="W6" s="17">
        <v>10</v>
      </c>
      <c r="Y6" s="18" t="s">
        <v>5</v>
      </c>
      <c r="Z6" s="19">
        <v>0.25</v>
      </c>
    </row>
    <row r="7" spans="1:26" ht="15.75" thickBot="1" x14ac:dyDescent="0.3">
      <c r="A7" s="5">
        <v>46031</v>
      </c>
      <c r="B7" s="6">
        <v>3</v>
      </c>
      <c r="C7" s="7">
        <v>11</v>
      </c>
      <c r="D7" s="8">
        <v>3</v>
      </c>
      <c r="E7" s="8">
        <v>11</v>
      </c>
      <c r="J7">
        <f t="shared" si="0"/>
        <v>60</v>
      </c>
      <c r="K7">
        <f>$Z$4*J7</f>
        <v>24</v>
      </c>
      <c r="L7">
        <f t="shared" si="1"/>
        <v>21</v>
      </c>
      <c r="M7">
        <f>$Z$6*J7</f>
        <v>15</v>
      </c>
      <c r="N7" s="3">
        <f t="shared" si="2"/>
        <v>220</v>
      </c>
      <c r="O7">
        <f t="shared" si="3"/>
        <v>88</v>
      </c>
      <c r="P7">
        <f t="shared" si="4"/>
        <v>77</v>
      </c>
      <c r="Q7" s="4">
        <f>$Z$6*N7</f>
        <v>55</v>
      </c>
      <c r="R7" s="2">
        <f t="shared" si="5"/>
        <v>172</v>
      </c>
      <c r="S7" s="2">
        <f t="shared" si="5"/>
        <v>150.5</v>
      </c>
      <c r="T7" s="2">
        <f t="shared" si="5"/>
        <v>107.5</v>
      </c>
      <c r="V7" s="18" t="s">
        <v>14</v>
      </c>
      <c r="W7" s="19">
        <v>10</v>
      </c>
    </row>
    <row r="8" spans="1:26" x14ac:dyDescent="0.25">
      <c r="A8" s="5">
        <v>46032</v>
      </c>
      <c r="B8" s="6">
        <v>3</v>
      </c>
      <c r="C8" s="7">
        <v>13</v>
      </c>
      <c r="D8" s="8">
        <v>2</v>
      </c>
      <c r="E8" s="8">
        <v>3</v>
      </c>
      <c r="J8">
        <f t="shared" si="0"/>
        <v>50</v>
      </c>
      <c r="K8">
        <f>$Z$4*J8</f>
        <v>20</v>
      </c>
      <c r="L8">
        <f t="shared" si="1"/>
        <v>17.5</v>
      </c>
      <c r="M8">
        <f>$Z$6*J8</f>
        <v>12.5</v>
      </c>
      <c r="N8" s="3">
        <f t="shared" si="2"/>
        <v>160</v>
      </c>
      <c r="O8">
        <f t="shared" si="3"/>
        <v>64</v>
      </c>
      <c r="P8">
        <f t="shared" si="4"/>
        <v>56</v>
      </c>
      <c r="Q8" s="4">
        <f>$Z$6*N8</f>
        <v>40</v>
      </c>
    </row>
    <row r="9" spans="1:26" x14ac:dyDescent="0.25">
      <c r="A9" s="5">
        <v>46033</v>
      </c>
      <c r="B9" s="6">
        <v>0</v>
      </c>
      <c r="C9" s="7">
        <v>0</v>
      </c>
      <c r="D9" s="8">
        <v>0</v>
      </c>
      <c r="E9" s="8">
        <v>0</v>
      </c>
      <c r="J9">
        <f t="shared" ref="J9:J20" si="6">(VLOOKUP($B$3,V$4:W$7,2,FALSE)*(B9))+(VLOOKUP($D$3,V$4:W$7,2,FALSE)*(D9))+(VLOOKUP($F$3, V$4:W$7, 2, FALSE)*(F9))+(VLOOKUP($H$3, V$4:W$7, 2, FALSE)*(H9))</f>
        <v>0</v>
      </c>
      <c r="K9">
        <f t="shared" ref="K9:K20" si="7">$Z$4*J9</f>
        <v>0</v>
      </c>
      <c r="L9">
        <f t="shared" ref="L9:L20" si="8">$Z$5*J9</f>
        <v>0</v>
      </c>
      <c r="M9">
        <f t="shared" ref="M9:M20" si="9">$Z$6*J9</f>
        <v>0</v>
      </c>
      <c r="N9" s="3">
        <f t="shared" ref="N9:N20" si="10">(VLOOKUP($B$3,V$4:W$7,2,FALSE)*(C9))+(VLOOKUP($D$3,V$4:W$7,2,FALSE)*(E9))+(VLOOKUP($F$3, V$4:W$7, 2, FALSE)*(G9))+(VLOOKUP($H$3, V$4:W$7, 2, FALSE)*(I9))</f>
        <v>0</v>
      </c>
      <c r="O9">
        <f t="shared" ref="O9:O20" si="11">$Z$4*N9</f>
        <v>0</v>
      </c>
      <c r="P9">
        <f t="shared" ref="P9:P20" si="12">$Z$5*N9</f>
        <v>0</v>
      </c>
      <c r="Q9" s="4">
        <f t="shared" ref="Q9:Q20" si="13">$Z$6*N9</f>
        <v>0</v>
      </c>
      <c r="Y9" t="s">
        <v>9</v>
      </c>
    </row>
    <row r="10" spans="1:26" x14ac:dyDescent="0.25">
      <c r="A10" s="5">
        <v>46034</v>
      </c>
      <c r="B10" s="6">
        <v>3</v>
      </c>
      <c r="C10" s="7">
        <v>0</v>
      </c>
      <c r="D10" s="8">
        <v>1</v>
      </c>
      <c r="E10" s="8">
        <v>0</v>
      </c>
      <c r="J10">
        <f t="shared" si="6"/>
        <v>40</v>
      </c>
      <c r="K10">
        <f t="shared" si="7"/>
        <v>16</v>
      </c>
      <c r="L10">
        <f t="shared" si="8"/>
        <v>14</v>
      </c>
      <c r="M10">
        <f t="shared" si="9"/>
        <v>10</v>
      </c>
      <c r="N10" s="3">
        <f t="shared" si="10"/>
        <v>0</v>
      </c>
      <c r="O10">
        <f t="shared" si="11"/>
        <v>0</v>
      </c>
      <c r="P10">
        <f t="shared" si="12"/>
        <v>0</v>
      </c>
      <c r="Q10" s="4">
        <f t="shared" si="13"/>
        <v>0</v>
      </c>
      <c r="Y10" t="s">
        <v>3</v>
      </c>
      <c r="Z10">
        <v>0</v>
      </c>
    </row>
    <row r="11" spans="1:26" x14ac:dyDescent="0.25">
      <c r="A11" s="5">
        <v>46035</v>
      </c>
      <c r="B11" s="6">
        <v>0</v>
      </c>
      <c r="C11" s="7">
        <v>0</v>
      </c>
      <c r="D11" s="8">
        <v>1</v>
      </c>
      <c r="E11" s="8">
        <v>-1</v>
      </c>
      <c r="J11">
        <f t="shared" si="6"/>
        <v>10</v>
      </c>
      <c r="K11">
        <f t="shared" si="7"/>
        <v>4</v>
      </c>
      <c r="L11">
        <f t="shared" si="8"/>
        <v>3.5</v>
      </c>
      <c r="M11">
        <f t="shared" si="9"/>
        <v>2.5</v>
      </c>
      <c r="N11" s="3">
        <f t="shared" si="10"/>
        <v>-10</v>
      </c>
      <c r="O11">
        <f t="shared" si="11"/>
        <v>-4</v>
      </c>
      <c r="P11">
        <f t="shared" si="12"/>
        <v>-3.5</v>
      </c>
      <c r="Q11" s="4">
        <f t="shared" si="13"/>
        <v>-2.5</v>
      </c>
      <c r="Y11" t="s">
        <v>4</v>
      </c>
      <c r="Z11">
        <v>0</v>
      </c>
    </row>
    <row r="12" spans="1:26" x14ac:dyDescent="0.25">
      <c r="A12" s="5">
        <v>46036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 s="3">
        <f t="shared" si="10"/>
        <v>0</v>
      </c>
      <c r="O12">
        <f t="shared" si="11"/>
        <v>0</v>
      </c>
      <c r="P12">
        <f t="shared" si="12"/>
        <v>0</v>
      </c>
      <c r="Q12" s="4">
        <f t="shared" si="13"/>
        <v>0</v>
      </c>
      <c r="W12" t="s">
        <v>26</v>
      </c>
      <c r="Y12" t="s">
        <v>5</v>
      </c>
      <c r="Z12">
        <v>0</v>
      </c>
    </row>
    <row r="13" spans="1:26" x14ac:dyDescent="0.25">
      <c r="A13" s="5">
        <v>46037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 s="3">
        <f t="shared" si="10"/>
        <v>0</v>
      </c>
      <c r="O13">
        <f t="shared" si="11"/>
        <v>0</v>
      </c>
      <c r="P13">
        <f t="shared" si="12"/>
        <v>0</v>
      </c>
      <c r="Q13" s="4">
        <f t="shared" si="13"/>
        <v>0</v>
      </c>
    </row>
    <row r="14" spans="1:26" x14ac:dyDescent="0.25">
      <c r="A14" s="5">
        <v>46038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 s="3">
        <f t="shared" si="10"/>
        <v>0</v>
      </c>
      <c r="O14">
        <f t="shared" si="11"/>
        <v>0</v>
      </c>
      <c r="P14">
        <f t="shared" si="12"/>
        <v>0</v>
      </c>
      <c r="Q14" s="4">
        <f t="shared" si="13"/>
        <v>0</v>
      </c>
    </row>
    <row r="15" spans="1:26" x14ac:dyDescent="0.25">
      <c r="A15" s="5">
        <v>46039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 s="3">
        <f t="shared" si="10"/>
        <v>0</v>
      </c>
      <c r="O15">
        <f t="shared" si="11"/>
        <v>0</v>
      </c>
      <c r="P15">
        <f t="shared" si="12"/>
        <v>0</v>
      </c>
      <c r="Q15" s="4">
        <f t="shared" si="13"/>
        <v>0</v>
      </c>
    </row>
    <row r="16" spans="1:26" x14ac:dyDescent="0.25">
      <c r="A16" s="5">
        <v>46040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 s="3">
        <f t="shared" si="10"/>
        <v>0</v>
      </c>
      <c r="O16">
        <f t="shared" si="11"/>
        <v>0</v>
      </c>
      <c r="P16">
        <f t="shared" si="12"/>
        <v>0</v>
      </c>
      <c r="Q16" s="4">
        <f t="shared" si="13"/>
        <v>0</v>
      </c>
    </row>
    <row r="17" spans="1:17" x14ac:dyDescent="0.25">
      <c r="A17" s="5">
        <v>46041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 s="3">
        <f t="shared" si="10"/>
        <v>0</v>
      </c>
      <c r="O17">
        <f t="shared" si="11"/>
        <v>0</v>
      </c>
      <c r="P17">
        <f t="shared" si="12"/>
        <v>0</v>
      </c>
      <c r="Q17" s="4">
        <f t="shared" si="13"/>
        <v>0</v>
      </c>
    </row>
    <row r="18" spans="1:17" ht="15.75" thickBot="1" x14ac:dyDescent="0.3">
      <c r="A18" s="5">
        <v>46042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 s="3">
        <f t="shared" si="10"/>
        <v>0</v>
      </c>
      <c r="O18">
        <f t="shared" si="11"/>
        <v>0</v>
      </c>
      <c r="P18">
        <f t="shared" si="12"/>
        <v>0</v>
      </c>
      <c r="Q18" s="4">
        <f t="shared" si="13"/>
        <v>0</v>
      </c>
    </row>
    <row r="19" spans="1:17" ht="15.75" thickBot="1" x14ac:dyDescent="0.3">
      <c r="A19" s="10" t="s">
        <v>21</v>
      </c>
      <c r="B19" s="12">
        <f>SUM(B5:B18)</f>
        <v>23</v>
      </c>
      <c r="C19" s="9">
        <f t="shared" ref="C19:I19" si="14">SUM(C5:C18)</f>
        <v>32</v>
      </c>
      <c r="D19" s="11">
        <f t="shared" si="14"/>
        <v>30</v>
      </c>
      <c r="E19" s="13">
        <f t="shared" si="14"/>
        <v>20</v>
      </c>
      <c r="F19" s="12">
        <f t="shared" si="14"/>
        <v>0</v>
      </c>
      <c r="G19" s="9">
        <f t="shared" si="14"/>
        <v>0</v>
      </c>
      <c r="H19" s="11">
        <f t="shared" si="14"/>
        <v>0</v>
      </c>
      <c r="I19" s="9">
        <f t="shared" si="14"/>
        <v>0</v>
      </c>
      <c r="J19" s="27">
        <f t="shared" si="6"/>
        <v>530</v>
      </c>
      <c r="K19" s="27">
        <f t="shared" si="7"/>
        <v>212</v>
      </c>
      <c r="L19" s="27">
        <f t="shared" si="8"/>
        <v>185.5</v>
      </c>
      <c r="M19" s="27">
        <f t="shared" si="9"/>
        <v>132.5</v>
      </c>
      <c r="N19" s="28">
        <f t="shared" si="10"/>
        <v>520</v>
      </c>
      <c r="O19" s="29">
        <f t="shared" si="11"/>
        <v>208</v>
      </c>
      <c r="P19" s="29">
        <f t="shared" si="12"/>
        <v>182</v>
      </c>
      <c r="Q19" s="30">
        <f t="shared" si="13"/>
        <v>130</v>
      </c>
    </row>
    <row r="20" spans="1:17" ht="17.25" thickTop="1" thickBot="1" x14ac:dyDescent="0.3">
      <c r="C20" s="7">
        <f>B19+C19</f>
        <v>55</v>
      </c>
      <c r="E20" s="7">
        <f>D19+E19</f>
        <v>50</v>
      </c>
      <c r="G20" s="7">
        <f>F19+G19</f>
        <v>0</v>
      </c>
      <c r="I20" s="7">
        <f>H19+I19</f>
        <v>0</v>
      </c>
      <c r="J20" s="27">
        <f t="shared" si="6"/>
        <v>0</v>
      </c>
      <c r="K20" s="27">
        <f t="shared" si="7"/>
        <v>0</v>
      </c>
      <c r="L20" s="27">
        <f t="shared" si="8"/>
        <v>0</v>
      </c>
      <c r="M20" s="27">
        <f t="shared" si="9"/>
        <v>0</v>
      </c>
      <c r="N20" s="31">
        <f t="shared" si="10"/>
        <v>1050</v>
      </c>
      <c r="O20" s="32">
        <f t="shared" si="11"/>
        <v>420</v>
      </c>
      <c r="P20" s="32">
        <f t="shared" si="12"/>
        <v>367.5</v>
      </c>
      <c r="Q20" s="33">
        <f t="shared" si="13"/>
        <v>262.5</v>
      </c>
    </row>
    <row r="21" spans="1:17" ht="15.75" thickTop="1" x14ac:dyDescent="0.25">
      <c r="J21" s="27"/>
      <c r="K21" s="27"/>
      <c r="L21" s="27"/>
      <c r="M21" s="27"/>
      <c r="N21" s="41" t="s">
        <v>24</v>
      </c>
      <c r="O21" s="41"/>
      <c r="P21" s="34"/>
      <c r="Q21" s="35"/>
    </row>
  </sheetData>
  <mergeCells count="9">
    <mergeCell ref="N3:Q3"/>
    <mergeCell ref="A1:Q2"/>
    <mergeCell ref="N21:O21"/>
    <mergeCell ref="R3:T3"/>
    <mergeCell ref="J3:M3"/>
    <mergeCell ref="B3:C3"/>
    <mergeCell ref="D3:E3"/>
    <mergeCell ref="F3:G3"/>
    <mergeCell ref="H3:I3"/>
  </mergeCells>
  <pageMargins left="0.7" right="0.7" top="0.75" bottom="0.75" header="0.3" footer="0.3"/>
  <pageSetup scale="73" fitToHeight="0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DAILY_PRODUCTION</vt:lpstr>
      <vt:lpstr>DAILY_PRODUCTION!Print_Area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farinde</dc:creator>
  <cp:lastModifiedBy>mubarak farinde</cp:lastModifiedBy>
  <cp:lastPrinted>2026-01-12T17:46:03Z</cp:lastPrinted>
  <dcterms:created xsi:type="dcterms:W3CDTF">2026-01-01T18:41:29Z</dcterms:created>
  <dcterms:modified xsi:type="dcterms:W3CDTF">2026-01-15T08:52:49Z</dcterms:modified>
</cp:coreProperties>
</file>